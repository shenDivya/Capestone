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asai\project\1\"/>
    </mc:Choice>
  </mc:AlternateContent>
  <xr:revisionPtr revIDLastSave="0" documentId="13_ncr:1_{28FDA920-DB42-4AC2-A6C2-87A473E4A0F1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Monthly Data" sheetId="1" r:id="rId1"/>
    <sheet name="Category Tragets" sheetId="2" r:id="rId2"/>
    <sheet name="Pivot Table" sheetId="4" r:id="rId3"/>
    <sheet name="Category Summary" sheetId="5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 a="1"/>
  <c r="C2" i="5" s="1"/>
  <c r="F7" i="5"/>
  <c r="F3" i="5"/>
  <c r="F4" i="5"/>
  <c r="F6" i="5"/>
  <c r="F5" i="5"/>
  <c r="F2" i="5"/>
  <c r="E7" i="5"/>
  <c r="E6" i="5"/>
  <c r="E3" i="5"/>
  <c r="E5" i="5"/>
  <c r="E4" i="5"/>
  <c r="E2" i="5"/>
  <c r="D3" i="5"/>
  <c r="D4" i="5"/>
  <c r="D5" i="5"/>
  <c r="D6" i="5"/>
  <c r="D7" i="5"/>
  <c r="D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<sst xmlns="http://schemas.openxmlformats.org/spreadsheetml/2006/main" count="124" uniqueCount="32">
  <si>
    <t>Bakery</t>
  </si>
  <si>
    <t>2026-01</t>
  </si>
  <si>
    <t>2026-02</t>
  </si>
  <si>
    <t>2026-03</t>
  </si>
  <si>
    <t>2026-04</t>
  </si>
  <si>
    <t>2026-05</t>
  </si>
  <si>
    <t>2026-06</t>
  </si>
  <si>
    <t>Dairy &amp; Eggs</t>
  </si>
  <si>
    <t>Fruits &amp; Vegetables</t>
  </si>
  <si>
    <t>Household Essentials</t>
  </si>
  <si>
    <t>Personal Care</t>
  </si>
  <si>
    <t>Snacks &amp; Beverages</t>
  </si>
  <si>
    <t>category</t>
  </si>
  <si>
    <t>traget_revenue_inr</t>
  </si>
  <si>
    <t>total_revenue</t>
  </si>
  <si>
    <t>avg_revenue</t>
  </si>
  <si>
    <t>order_month</t>
  </si>
  <si>
    <t>order_count</t>
  </si>
  <si>
    <t>Row Labels</t>
  </si>
  <si>
    <t>Grand Total</t>
  </si>
  <si>
    <t>Sum of total_revenue</t>
  </si>
  <si>
    <t>Sum of order_count</t>
  </si>
  <si>
    <t>Total Revenue</t>
  </si>
  <si>
    <t>Total Order</t>
  </si>
  <si>
    <t>target_revenue_inr</t>
  </si>
  <si>
    <t>variance</t>
  </si>
  <si>
    <t>percentage_variance</t>
  </si>
  <si>
    <t>status</t>
  </si>
  <si>
    <t>Category</t>
  </si>
  <si>
    <t xml:space="preserve"> total_revenue</t>
  </si>
  <si>
    <t>Matches Part 1 SQL total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</si>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</sst>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vyajoti Shen" refreshedDate="46279.39822314815" createdVersion="8" refreshedVersion="8" minRefreshableVersion="3" recordCount="36" xr:uid="{4E14B241-4B5C-421B-A1B3-A9B51139DB59}">
  <cacheSource type="worksheet">
    <worksheetSource ref="A1:E37" sheet="Monthly Data"/>
  </cacheSource>
  <cacheFields count="5">
    <cacheField name="category" numFmtId="0">
      <sharedItems count="6">
        <s v="Bakery"/>
        <s v="Dairy &amp; Eggs"/>
        <s v="Fruits &amp; Vegetables"/>
        <s v="Household Essentials"/>
        <s v="Personal Care"/>
        <s v="Snacks &amp; Beverages"/>
      </sharedItems>
    </cacheField>
    <cacheField name="order_month" numFmtId="0">
      <sharedItems/>
    </cacheField>
    <cacheField name="order_count" numFmtId="0">
      <sharedItems containsSemiMixedTypes="0" containsString="0" containsNumber="1" containsInteger="1" minValue="6" maxValue="19"/>
    </cacheField>
    <cacheField name="total_revenue" numFmtId="0">
      <sharedItems containsSemiMixedTypes="0" containsString="0" containsNumber="1" containsInteger="1" minValue="735" maxValue="5491"/>
    </cacheField>
    <cacheField name="avg_revenue" numFmtId="0">
      <sharedItems containsSemiMixedTypes="0" containsString="0" containsNumber="1" minValue="100" maxValue="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s v="2026-01"/>
    <n v="6"/>
    <n v="735"/>
    <n v="122.5"/>
  </r>
  <r>
    <x v="0"/>
    <s v="2026-02"/>
    <n v="8"/>
    <n v="2440"/>
    <n v="305"/>
  </r>
  <r>
    <x v="0"/>
    <s v="2026-03"/>
    <n v="11"/>
    <n v="3090"/>
    <n v="280.90909090000002"/>
  </r>
  <r>
    <x v="0"/>
    <s v="2026-04"/>
    <n v="13"/>
    <n v="3115"/>
    <n v="239.6153846"/>
  </r>
  <r>
    <x v="0"/>
    <s v="2026-05"/>
    <n v="15"/>
    <n v="3695"/>
    <n v="246.33333329999999"/>
  </r>
  <r>
    <x v="0"/>
    <s v="2026-06"/>
    <n v="14"/>
    <n v="2335"/>
    <n v="166.7857143"/>
  </r>
  <r>
    <x v="1"/>
    <s v="2026-01"/>
    <n v="9"/>
    <n v="2035"/>
    <n v="226.11111109999999"/>
  </r>
  <r>
    <x v="1"/>
    <s v="2026-02"/>
    <n v="8"/>
    <n v="1935"/>
    <n v="241.875"/>
  </r>
  <r>
    <x v="1"/>
    <s v="2026-03"/>
    <n v="15"/>
    <n v="3163"/>
    <n v="210.8666667"/>
  </r>
  <r>
    <x v="1"/>
    <s v="2026-04"/>
    <n v="9"/>
    <n v="1650"/>
    <n v="183.33333329999999"/>
  </r>
  <r>
    <x v="1"/>
    <s v="2026-05"/>
    <n v="14"/>
    <n v="3479"/>
    <n v="248.5"/>
  </r>
  <r>
    <x v="1"/>
    <s v="2026-06"/>
    <n v="11"/>
    <n v="1828"/>
    <n v="166.18181820000001"/>
  </r>
  <r>
    <x v="2"/>
    <s v="2026-01"/>
    <n v="12"/>
    <n v="1290"/>
    <n v="107.5"/>
  </r>
  <r>
    <x v="2"/>
    <s v="2026-02"/>
    <n v="13"/>
    <n v="2090"/>
    <n v="160.7692308"/>
  </r>
  <r>
    <x v="2"/>
    <s v="2026-03"/>
    <n v="13"/>
    <n v="2080"/>
    <n v="160"/>
  </r>
  <r>
    <x v="2"/>
    <s v="2026-04"/>
    <n v="14"/>
    <n v="1400"/>
    <n v="100"/>
  </r>
  <r>
    <x v="2"/>
    <s v="2026-05"/>
    <n v="12"/>
    <n v="1870"/>
    <n v="155.83333329999999"/>
  </r>
  <r>
    <x v="2"/>
    <s v="2026-06"/>
    <n v="9"/>
    <n v="1060"/>
    <n v="117.7777778"/>
  </r>
  <r>
    <x v="3"/>
    <s v="2026-01"/>
    <n v="10"/>
    <n v="2099"/>
    <n v="209.9"/>
  </r>
  <r>
    <x v="3"/>
    <s v="2026-02"/>
    <n v="16"/>
    <n v="5113"/>
    <n v="319.5625"/>
  </r>
  <r>
    <x v="3"/>
    <s v="2026-03"/>
    <n v="8"/>
    <n v="1885"/>
    <n v="235.625"/>
  </r>
  <r>
    <x v="3"/>
    <s v="2026-04"/>
    <n v="17"/>
    <n v="5491"/>
    <n v="323"/>
  </r>
  <r>
    <x v="3"/>
    <s v="2026-05"/>
    <n v="16"/>
    <n v="3477"/>
    <n v="217.3125"/>
  </r>
  <r>
    <x v="3"/>
    <s v="2026-06"/>
    <n v="12"/>
    <n v="3650"/>
    <n v="304.16666670000001"/>
  </r>
  <r>
    <x v="4"/>
    <s v="2026-01"/>
    <n v="12"/>
    <n v="3608"/>
    <n v="300.66666670000001"/>
  </r>
  <r>
    <x v="4"/>
    <s v="2026-02"/>
    <n v="8"/>
    <n v="2177"/>
    <n v="272.125"/>
  </r>
  <r>
    <x v="4"/>
    <s v="2026-03"/>
    <n v="11"/>
    <n v="2807"/>
    <n v="255.18181820000001"/>
  </r>
  <r>
    <x v="4"/>
    <s v="2026-04"/>
    <n v="9"/>
    <n v="1970"/>
    <n v="218.88888890000001"/>
  </r>
  <r>
    <x v="4"/>
    <s v="2026-05"/>
    <n v="13"/>
    <n v="3045"/>
    <n v="234.2307692"/>
  </r>
  <r>
    <x v="4"/>
    <s v="2026-06"/>
    <n v="13"/>
    <n v="2775"/>
    <n v="213.46153849999999"/>
  </r>
  <r>
    <x v="5"/>
    <s v="2026-01"/>
    <n v="10"/>
    <n v="1290"/>
    <n v="129"/>
  </r>
  <r>
    <x v="5"/>
    <s v="2026-02"/>
    <n v="11"/>
    <n v="1330"/>
    <n v="120.9090909"/>
  </r>
  <r>
    <x v="5"/>
    <s v="2026-03"/>
    <n v="15"/>
    <n v="1670"/>
    <n v="111.33333330000001"/>
  </r>
  <r>
    <x v="5"/>
    <s v="2026-04"/>
    <n v="19"/>
    <n v="2980"/>
    <n v="156.84210529999999"/>
  </r>
  <r>
    <x v="5"/>
    <s v="2026-05"/>
    <n v="13"/>
    <n v="1665"/>
    <n v="128.07692309999999"/>
  </r>
  <r>
    <x v="5"/>
    <s v="2026-06"/>
    <n v="15"/>
    <n v="1960"/>
    <n v="130.6666667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193B4-1353-4AA6-BF29-DC991DAEE36D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9" firstHeaderRow="1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rder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4CF08-1C1B-4854-BD32-829695334661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9" firstHeaderRow="1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A4698-A24C-4BD4-BC08-4E1D8B98F4A6}" name="PivotTable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ategory">
  <location ref="A1:B7" firstHeaderRow="1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 total_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sqref="A1:E37"/>
    </sheetView>
  </sheetViews>
  <sheetFormatPr defaultRowHeight="14.6" x14ac:dyDescent="0.4"/>
  <cols>
    <col min="1" max="1" width="18.23046875" bestFit="1" customWidth="1"/>
    <col min="2" max="2" width="11.921875" bestFit="1" customWidth="1"/>
    <col min="3" max="3" width="11.15234375" bestFit="1" customWidth="1"/>
    <col min="4" max="4" width="12.53515625" bestFit="1" customWidth="1"/>
    <col min="5" max="5" width="11.84375" bestFit="1" customWidth="1"/>
  </cols>
  <sheetData>
    <row r="1" spans="1:5" s="1" customFormat="1" x14ac:dyDescent="0.4">
      <c r="A1" s="1" t="s">
        <v>12</v>
      </c>
      <c r="B1" s="1" t="s">
        <v>16</v>
      </c>
      <c r="C1" s="1" t="s">
        <v>17</v>
      </c>
      <c r="D1" s="1" t="s">
        <v>14</v>
      </c>
      <c r="E1" s="1" t="s">
        <v>15</v>
      </c>
    </row>
    <row r="2" spans="1:5" x14ac:dyDescent="0.4">
      <c r="A2" t="s">
        <v>0</v>
      </c>
      <c r="B2" t="s">
        <v>1</v>
      </c>
      <c r="C2">
        <v>6</v>
      </c>
      <c r="D2">
        <v>735</v>
      </c>
      <c r="E2">
        <v>122.5</v>
      </c>
    </row>
    <row r="3" spans="1:5" x14ac:dyDescent="0.4">
      <c r="A3" t="s">
        <v>0</v>
      </c>
      <c r="B3" t="s">
        <v>2</v>
      </c>
      <c r="C3">
        <v>8</v>
      </c>
      <c r="D3">
        <v>2440</v>
      </c>
      <c r="E3">
        <v>305</v>
      </c>
    </row>
    <row r="4" spans="1:5" x14ac:dyDescent="0.4">
      <c r="A4" t="s">
        <v>0</v>
      </c>
      <c r="B4" t="s">
        <v>3</v>
      </c>
      <c r="C4">
        <v>11</v>
      </c>
      <c r="D4">
        <v>3090</v>
      </c>
      <c r="E4">
        <v>280.90909090000002</v>
      </c>
    </row>
    <row r="5" spans="1:5" x14ac:dyDescent="0.4">
      <c r="A5" t="s">
        <v>0</v>
      </c>
      <c r="B5" t="s">
        <v>4</v>
      </c>
      <c r="C5">
        <v>13</v>
      </c>
      <c r="D5">
        <v>3115</v>
      </c>
      <c r="E5">
        <v>239.6153846</v>
      </c>
    </row>
    <row r="6" spans="1:5" x14ac:dyDescent="0.4">
      <c r="A6" t="s">
        <v>0</v>
      </c>
      <c r="B6" t="s">
        <v>5</v>
      </c>
      <c r="C6">
        <v>15</v>
      </c>
      <c r="D6">
        <v>3695</v>
      </c>
      <c r="E6">
        <v>246.33333329999999</v>
      </c>
    </row>
    <row r="7" spans="1:5" x14ac:dyDescent="0.4">
      <c r="A7" t="s">
        <v>0</v>
      </c>
      <c r="B7" t="s">
        <v>6</v>
      </c>
      <c r="C7">
        <v>14</v>
      </c>
      <c r="D7">
        <v>2335</v>
      </c>
      <c r="E7">
        <v>166.7857143</v>
      </c>
    </row>
    <row r="8" spans="1:5" x14ac:dyDescent="0.4">
      <c r="A8" t="s">
        <v>7</v>
      </c>
      <c r="B8" t="s">
        <v>1</v>
      </c>
      <c r="C8">
        <v>9</v>
      </c>
      <c r="D8">
        <v>2035</v>
      </c>
      <c r="E8">
        <v>226.11111109999999</v>
      </c>
    </row>
    <row r="9" spans="1:5" x14ac:dyDescent="0.4">
      <c r="A9" t="s">
        <v>7</v>
      </c>
      <c r="B9" t="s">
        <v>2</v>
      </c>
      <c r="C9">
        <v>8</v>
      </c>
      <c r="D9">
        <v>1935</v>
      </c>
      <c r="E9">
        <v>241.875</v>
      </c>
    </row>
    <row r="10" spans="1:5" x14ac:dyDescent="0.4">
      <c r="A10" t="s">
        <v>7</v>
      </c>
      <c r="B10" t="s">
        <v>3</v>
      </c>
      <c r="C10">
        <v>15</v>
      </c>
      <c r="D10">
        <v>3163</v>
      </c>
      <c r="E10">
        <v>210.8666667</v>
      </c>
    </row>
    <row r="11" spans="1:5" x14ac:dyDescent="0.4">
      <c r="A11" t="s">
        <v>7</v>
      </c>
      <c r="B11" t="s">
        <v>4</v>
      </c>
      <c r="C11">
        <v>9</v>
      </c>
      <c r="D11">
        <v>1650</v>
      </c>
      <c r="E11">
        <v>183.33333329999999</v>
      </c>
    </row>
    <row r="12" spans="1:5" x14ac:dyDescent="0.4">
      <c r="A12" t="s">
        <v>7</v>
      </c>
      <c r="B12" t="s">
        <v>5</v>
      </c>
      <c r="C12">
        <v>14</v>
      </c>
      <c r="D12">
        <v>3479</v>
      </c>
      <c r="E12">
        <v>248.5</v>
      </c>
    </row>
    <row r="13" spans="1:5" x14ac:dyDescent="0.4">
      <c r="A13" t="s">
        <v>7</v>
      </c>
      <c r="B13" t="s">
        <v>6</v>
      </c>
      <c r="C13">
        <v>11</v>
      </c>
      <c r="D13">
        <v>1828</v>
      </c>
      <c r="E13">
        <v>166.18181820000001</v>
      </c>
    </row>
    <row r="14" spans="1:5" x14ac:dyDescent="0.4">
      <c r="A14" t="s">
        <v>8</v>
      </c>
      <c r="B14" t="s">
        <v>1</v>
      </c>
      <c r="C14">
        <v>12</v>
      </c>
      <c r="D14">
        <v>1290</v>
      </c>
      <c r="E14">
        <v>107.5</v>
      </c>
    </row>
    <row r="15" spans="1:5" x14ac:dyDescent="0.4">
      <c r="A15" t="s">
        <v>8</v>
      </c>
      <c r="B15" t="s">
        <v>2</v>
      </c>
      <c r="C15">
        <v>13</v>
      </c>
      <c r="D15">
        <v>2090</v>
      </c>
      <c r="E15">
        <v>160.7692308</v>
      </c>
    </row>
    <row r="16" spans="1:5" x14ac:dyDescent="0.4">
      <c r="A16" t="s">
        <v>8</v>
      </c>
      <c r="B16" t="s">
        <v>3</v>
      </c>
      <c r="C16">
        <v>13</v>
      </c>
      <c r="D16">
        <v>2080</v>
      </c>
      <c r="E16">
        <v>160</v>
      </c>
    </row>
    <row r="17" spans="1:5" x14ac:dyDescent="0.4">
      <c r="A17" t="s">
        <v>8</v>
      </c>
      <c r="B17" t="s">
        <v>4</v>
      </c>
      <c r="C17">
        <v>14</v>
      </c>
      <c r="D17">
        <v>1400</v>
      </c>
      <c r="E17">
        <v>100</v>
      </c>
    </row>
    <row r="18" spans="1:5" x14ac:dyDescent="0.4">
      <c r="A18" t="s">
        <v>8</v>
      </c>
      <c r="B18" t="s">
        <v>5</v>
      </c>
      <c r="C18">
        <v>12</v>
      </c>
      <c r="D18">
        <v>1870</v>
      </c>
      <c r="E18">
        <v>155.83333329999999</v>
      </c>
    </row>
    <row r="19" spans="1:5" x14ac:dyDescent="0.4">
      <c r="A19" t="s">
        <v>8</v>
      </c>
      <c r="B19" t="s">
        <v>6</v>
      </c>
      <c r="C19">
        <v>9</v>
      </c>
      <c r="D19">
        <v>1060</v>
      </c>
      <c r="E19">
        <v>117.7777778</v>
      </c>
    </row>
    <row r="20" spans="1:5" x14ac:dyDescent="0.4">
      <c r="A20" t="s">
        <v>9</v>
      </c>
      <c r="B20" t="s">
        <v>1</v>
      </c>
      <c r="C20">
        <v>10</v>
      </c>
      <c r="D20">
        <v>2099</v>
      </c>
      <c r="E20">
        <v>209.9</v>
      </c>
    </row>
    <row r="21" spans="1:5" x14ac:dyDescent="0.4">
      <c r="A21" t="s">
        <v>9</v>
      </c>
      <c r="B21" t="s">
        <v>2</v>
      </c>
      <c r="C21">
        <v>16</v>
      </c>
      <c r="D21">
        <v>5113</v>
      </c>
      <c r="E21">
        <v>319.5625</v>
      </c>
    </row>
    <row r="22" spans="1:5" x14ac:dyDescent="0.4">
      <c r="A22" t="s">
        <v>9</v>
      </c>
      <c r="B22" t="s">
        <v>3</v>
      </c>
      <c r="C22">
        <v>8</v>
      </c>
      <c r="D22">
        <v>1885</v>
      </c>
      <c r="E22">
        <v>235.625</v>
      </c>
    </row>
    <row r="23" spans="1:5" x14ac:dyDescent="0.4">
      <c r="A23" t="s">
        <v>9</v>
      </c>
      <c r="B23" t="s">
        <v>4</v>
      </c>
      <c r="C23">
        <v>17</v>
      </c>
      <c r="D23">
        <v>5491</v>
      </c>
      <c r="E23">
        <v>323</v>
      </c>
    </row>
    <row r="24" spans="1:5" x14ac:dyDescent="0.4">
      <c r="A24" t="s">
        <v>9</v>
      </c>
      <c r="B24" t="s">
        <v>5</v>
      </c>
      <c r="C24">
        <v>16</v>
      </c>
      <c r="D24">
        <v>3477</v>
      </c>
      <c r="E24">
        <v>217.3125</v>
      </c>
    </row>
    <row r="25" spans="1:5" x14ac:dyDescent="0.4">
      <c r="A25" t="s">
        <v>9</v>
      </c>
      <c r="B25" t="s">
        <v>6</v>
      </c>
      <c r="C25">
        <v>12</v>
      </c>
      <c r="D25">
        <v>3650</v>
      </c>
      <c r="E25">
        <v>304.16666670000001</v>
      </c>
    </row>
    <row r="26" spans="1:5" x14ac:dyDescent="0.4">
      <c r="A26" t="s">
        <v>10</v>
      </c>
      <c r="B26" t="s">
        <v>1</v>
      </c>
      <c r="C26">
        <v>12</v>
      </c>
      <c r="D26">
        <v>3608</v>
      </c>
      <c r="E26">
        <v>300.66666670000001</v>
      </c>
    </row>
    <row r="27" spans="1:5" x14ac:dyDescent="0.4">
      <c r="A27" t="s">
        <v>10</v>
      </c>
      <c r="B27" t="s">
        <v>2</v>
      </c>
      <c r="C27">
        <v>8</v>
      </c>
      <c r="D27">
        <v>2177</v>
      </c>
      <c r="E27">
        <v>272.125</v>
      </c>
    </row>
    <row r="28" spans="1:5" x14ac:dyDescent="0.4">
      <c r="A28" t="s">
        <v>10</v>
      </c>
      <c r="B28" t="s">
        <v>3</v>
      </c>
      <c r="C28">
        <v>11</v>
      </c>
      <c r="D28">
        <v>2807</v>
      </c>
      <c r="E28">
        <v>255.18181820000001</v>
      </c>
    </row>
    <row r="29" spans="1:5" x14ac:dyDescent="0.4">
      <c r="A29" t="s">
        <v>10</v>
      </c>
      <c r="B29" t="s">
        <v>4</v>
      </c>
      <c r="C29">
        <v>9</v>
      </c>
      <c r="D29">
        <v>1970</v>
      </c>
      <c r="E29">
        <v>218.88888890000001</v>
      </c>
    </row>
    <row r="30" spans="1:5" x14ac:dyDescent="0.4">
      <c r="A30" t="s">
        <v>10</v>
      </c>
      <c r="B30" t="s">
        <v>5</v>
      </c>
      <c r="C30">
        <v>13</v>
      </c>
      <c r="D30">
        <v>3045</v>
      </c>
      <c r="E30">
        <v>234.2307692</v>
      </c>
    </row>
    <row r="31" spans="1:5" x14ac:dyDescent="0.4">
      <c r="A31" t="s">
        <v>10</v>
      </c>
      <c r="B31" t="s">
        <v>6</v>
      </c>
      <c r="C31">
        <v>13</v>
      </c>
      <c r="D31">
        <v>2775</v>
      </c>
      <c r="E31">
        <v>213.46153849999999</v>
      </c>
    </row>
    <row r="32" spans="1:5" x14ac:dyDescent="0.4">
      <c r="A32" t="s">
        <v>11</v>
      </c>
      <c r="B32" t="s">
        <v>1</v>
      </c>
      <c r="C32">
        <v>10</v>
      </c>
      <c r="D32">
        <v>1290</v>
      </c>
      <c r="E32">
        <v>129</v>
      </c>
    </row>
    <row r="33" spans="1:5" x14ac:dyDescent="0.4">
      <c r="A33" t="s">
        <v>11</v>
      </c>
      <c r="B33" t="s">
        <v>2</v>
      </c>
      <c r="C33">
        <v>11</v>
      </c>
      <c r="D33">
        <v>1330</v>
      </c>
      <c r="E33">
        <v>120.9090909</v>
      </c>
    </row>
    <row r="34" spans="1:5" x14ac:dyDescent="0.4">
      <c r="A34" t="s">
        <v>11</v>
      </c>
      <c r="B34" t="s">
        <v>3</v>
      </c>
      <c r="C34">
        <v>15</v>
      </c>
      <c r="D34">
        <v>1670</v>
      </c>
      <c r="E34">
        <v>111.33333330000001</v>
      </c>
    </row>
    <row r="35" spans="1:5" x14ac:dyDescent="0.4">
      <c r="A35" t="s">
        <v>11</v>
      </c>
      <c r="B35" t="s">
        <v>4</v>
      </c>
      <c r="C35">
        <v>19</v>
      </c>
      <c r="D35">
        <v>2980</v>
      </c>
      <c r="E35">
        <v>156.84210529999999</v>
      </c>
    </row>
    <row r="36" spans="1:5" x14ac:dyDescent="0.4">
      <c r="A36" t="s">
        <v>11</v>
      </c>
      <c r="B36" t="s">
        <v>5</v>
      </c>
      <c r="C36">
        <v>13</v>
      </c>
      <c r="D36">
        <v>1665</v>
      </c>
      <c r="E36">
        <v>128.07692309999999</v>
      </c>
    </row>
    <row r="37" spans="1:5" x14ac:dyDescent="0.4">
      <c r="A37" t="s">
        <v>11</v>
      </c>
      <c r="B37" t="s">
        <v>6</v>
      </c>
      <c r="C37">
        <v>15</v>
      </c>
      <c r="D37">
        <v>1960</v>
      </c>
      <c r="E37">
        <v>130.66666670000001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A815-AC87-4E44-8AE0-F552377B006F}">
  <dimension ref="A1:B7"/>
  <sheetViews>
    <sheetView tabSelected="1" workbookViewId="0">
      <selection activeCell="A4" sqref="A4"/>
    </sheetView>
  </sheetViews>
  <sheetFormatPr defaultRowHeight="14.6" x14ac:dyDescent="0.4"/>
  <cols>
    <col min="1" max="1" width="18.23046875" bestFit="1" customWidth="1"/>
    <col min="2" max="2" width="16.84375" bestFit="1" customWidth="1"/>
  </cols>
  <sheetData>
    <row r="1" spans="1:2" s="1" customFormat="1" x14ac:dyDescent="0.4">
      <c r="A1" s="1" t="s">
        <v>12</v>
      </c>
      <c r="B1" s="1" t="s">
        <v>13</v>
      </c>
    </row>
    <row r="2" spans="1:2" x14ac:dyDescent="0.4">
      <c r="A2" s="3" t="s">
        <v>8</v>
      </c>
      <c r="B2" s="2">
        <v>12000</v>
      </c>
    </row>
    <row r="3" spans="1:2" x14ac:dyDescent="0.4">
      <c r="A3" s="3" t="s">
        <v>7</v>
      </c>
      <c r="B3" s="2">
        <v>16500</v>
      </c>
    </row>
    <row r="4" spans="1:2" x14ac:dyDescent="0.4">
      <c r="A4" s="3" t="s">
        <v>11</v>
      </c>
      <c r="B4" s="2">
        <v>13000</v>
      </c>
    </row>
    <row r="5" spans="1:2" x14ac:dyDescent="0.4">
      <c r="A5" s="3" t="s">
        <v>10</v>
      </c>
      <c r="B5" s="2">
        <v>15500</v>
      </c>
    </row>
    <row r="6" spans="1:2" x14ac:dyDescent="0.4">
      <c r="A6" s="3" t="s">
        <v>9</v>
      </c>
      <c r="B6" s="2">
        <v>17000</v>
      </c>
    </row>
    <row r="7" spans="1:2" x14ac:dyDescent="0.4">
      <c r="A7" s="3" t="s">
        <v>0</v>
      </c>
      <c r="B7" s="2">
        <v>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AE18-2534-4F5A-B19E-1DD872CEF4E8}">
  <dimension ref="A1:E9"/>
  <sheetViews>
    <sheetView workbookViewId="0">
      <selection activeCell="B9" sqref="A2:B9"/>
    </sheetView>
  </sheetViews>
  <sheetFormatPr defaultRowHeight="14.6" x14ac:dyDescent="0.4"/>
  <cols>
    <col min="1" max="1" width="18.23046875" bestFit="1" customWidth="1"/>
    <col min="2" max="2" width="18.921875" bestFit="1" customWidth="1"/>
    <col min="4" max="4" width="18.23046875" bestFit="1" customWidth="1"/>
    <col min="5" max="5" width="17.53515625" bestFit="1" customWidth="1"/>
  </cols>
  <sheetData>
    <row r="1" spans="1:5" x14ac:dyDescent="0.4">
      <c r="A1" s="7" t="s">
        <v>22</v>
      </c>
      <c r="B1" s="7"/>
      <c r="D1" s="7" t="s">
        <v>23</v>
      </c>
      <c r="E1" s="7"/>
    </row>
    <row r="2" spans="1:5" x14ac:dyDescent="0.4">
      <c r="A2" s="4" t="s">
        <v>18</v>
      </c>
      <c r="B2" t="s">
        <v>20</v>
      </c>
      <c r="D2" s="4" t="s">
        <v>18</v>
      </c>
      <c r="E2" t="s">
        <v>21</v>
      </c>
    </row>
    <row r="3" spans="1:5" x14ac:dyDescent="0.4">
      <c r="A3" s="5" t="s">
        <v>0</v>
      </c>
      <c r="B3" s="6">
        <v>15410</v>
      </c>
      <c r="D3" s="5" t="s">
        <v>0</v>
      </c>
      <c r="E3" s="6">
        <v>67</v>
      </c>
    </row>
    <row r="4" spans="1:5" x14ac:dyDescent="0.4">
      <c r="A4" s="5" t="s">
        <v>7</v>
      </c>
      <c r="B4" s="6">
        <v>14090</v>
      </c>
      <c r="D4" s="5" t="s">
        <v>7</v>
      </c>
      <c r="E4" s="6">
        <v>66</v>
      </c>
    </row>
    <row r="5" spans="1:5" x14ac:dyDescent="0.4">
      <c r="A5" s="5" t="s">
        <v>8</v>
      </c>
      <c r="B5" s="6">
        <v>9790</v>
      </c>
      <c r="D5" s="5" t="s">
        <v>8</v>
      </c>
      <c r="E5" s="6">
        <v>73</v>
      </c>
    </row>
    <row r="6" spans="1:5" x14ac:dyDescent="0.4">
      <c r="A6" s="5" t="s">
        <v>9</v>
      </c>
      <c r="B6" s="6">
        <v>21715</v>
      </c>
      <c r="D6" s="5" t="s">
        <v>9</v>
      </c>
      <c r="E6" s="6">
        <v>79</v>
      </c>
    </row>
    <row r="7" spans="1:5" x14ac:dyDescent="0.4">
      <c r="A7" s="5" t="s">
        <v>10</v>
      </c>
      <c r="B7" s="6">
        <v>16382</v>
      </c>
      <c r="D7" s="5" t="s">
        <v>10</v>
      </c>
      <c r="E7" s="6">
        <v>66</v>
      </c>
    </row>
    <row r="8" spans="1:5" x14ac:dyDescent="0.4">
      <c r="A8" s="5" t="s">
        <v>11</v>
      </c>
      <c r="B8" s="6">
        <v>10895</v>
      </c>
      <c r="D8" s="5" t="s">
        <v>11</v>
      </c>
      <c r="E8" s="6">
        <v>83</v>
      </c>
    </row>
    <row r="9" spans="1:5" x14ac:dyDescent="0.4">
      <c r="A9" s="5" t="s">
        <v>19</v>
      </c>
      <c r="B9" s="6">
        <v>88282</v>
      </c>
      <c r="D9" s="5" t="s">
        <v>19</v>
      </c>
      <c r="E9" s="6">
        <v>434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ACCA-6CE9-4E73-8ED4-FB8EB7C595B9}">
  <dimension ref="A1:G7"/>
  <sheetViews>
    <sheetView workbookViewId="0">
      <selection activeCell="G2" sqref="G2:G7"/>
    </sheetView>
  </sheetViews>
  <sheetFormatPr defaultRowHeight="14.6" x14ac:dyDescent="0.4"/>
  <cols>
    <col min="1" max="1" width="18.23046875" bestFit="1" customWidth="1"/>
    <col min="2" max="2" width="13.07421875" bestFit="1" customWidth="1"/>
    <col min="3" max="3" width="16.84375" bestFit="1" customWidth="1"/>
    <col min="4" max="4" width="7.69140625" bestFit="1" customWidth="1"/>
    <col min="5" max="5" width="18.07421875" bestFit="1" customWidth="1"/>
    <col min="6" max="6" width="18.61328125" bestFit="1" customWidth="1"/>
    <col min="7" max="7" width="21.61328125" bestFit="1" customWidth="1"/>
  </cols>
  <sheetData>
    <row r="1" spans="1:7" s="1" customFormat="1" x14ac:dyDescent="0.4">
      <c r="A1" s="4" t="s">
        <v>28</v>
      </c>
      <c r="B1" t="s">
        <v>29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30</v>
      </c>
    </row>
    <row r="2" spans="1:7" x14ac:dyDescent="0.4">
      <c r="A2" s="5" t="s">
        <v>0</v>
      </c>
      <c r="B2" s="6">
        <v>15410</v>
      </c>
      <c r="C2" cm="1">
        <f t="array" ref="C2:C7">_xlfn.XLOOKUP(A2:A7,'Category Tragets'!A2:A7,'Category Tragets'!B2:B7,"Not Found")</f>
        <v>12000</v>
      </c>
      <c r="D2">
        <f>C2-GETPIVOTDATA("total_revenue",$A$1,"category","Bakery")</f>
        <v>-3410</v>
      </c>
      <c r="E2">
        <f>((GETPIVOTDATA("total_revenue",$A$1,"category","Bakery")-C2)/C2)*100</f>
        <v>28.416666666666668</v>
      </c>
      <c r="F2" t="str">
        <f>IF(GETPIVOTDATA("total_revenue",$A$1,"category","Bakery")&gt;=C2,"Above Target",IF(((C2-GETPIVOTDATA("total_revenue",$A$1,"category","Bakery"))/C2)*100&lt;=15,"Below Target - Watch","Below Target - Critical"))</f>
        <v>Above Target</v>
      </c>
      <c r="G2" t="s">
        <v>31</v>
      </c>
    </row>
    <row r="3" spans="1:7" x14ac:dyDescent="0.4">
      <c r="A3" s="5" t="s">
        <v>7</v>
      </c>
      <c r="B3" s="6">
        <v>14090</v>
      </c>
      <c r="C3">
        <v>16500</v>
      </c>
      <c r="D3">
        <f t="shared" ref="D3:D7" si="0">C3-GETPIVOTDATA("total_revenue",$A$1,"category","Bakery")</f>
        <v>1090</v>
      </c>
      <c r="E3">
        <f t="shared" ref="E3:E7" si="1">((GETPIVOTDATA("total_revenue",$A$1,"category","Bakery")-C3)/C3)*100</f>
        <v>-6.6060606060606055</v>
      </c>
      <c r="F3" t="str">
        <f t="shared" ref="F3:F7" si="2">IF(GETPIVOTDATA("total_revenue",$A$1,"category","Bakery")&gt;=C3,"Above Target",IF(((C3-GETPIVOTDATA("total_revenue",$A$1,"category","Bakery"))/C3)*100&lt;=15,"Below Target - Watch","Below Target - Critical"))</f>
        <v>Below Target - Watch</v>
      </c>
      <c r="G3" t="s">
        <v>31</v>
      </c>
    </row>
    <row r="4" spans="1:7" x14ac:dyDescent="0.4">
      <c r="A4" s="5" t="s">
        <v>8</v>
      </c>
      <c r="B4" s="6">
        <v>9790</v>
      </c>
      <c r="C4">
        <v>12000</v>
      </c>
      <c r="D4">
        <f t="shared" si="0"/>
        <v>-3410</v>
      </c>
      <c r="E4">
        <f t="shared" si="1"/>
        <v>28.416666666666668</v>
      </c>
      <c r="F4" t="str">
        <f t="shared" si="2"/>
        <v>Above Target</v>
      </c>
      <c r="G4" t="s">
        <v>31</v>
      </c>
    </row>
    <row r="5" spans="1:7" x14ac:dyDescent="0.4">
      <c r="A5" s="5" t="s">
        <v>9</v>
      </c>
      <c r="B5" s="6">
        <v>21715</v>
      </c>
      <c r="C5">
        <v>17000</v>
      </c>
      <c r="D5">
        <f t="shared" si="0"/>
        <v>1590</v>
      </c>
      <c r="E5">
        <f t="shared" si="1"/>
        <v>-9.3529411764705888</v>
      </c>
      <c r="F5" t="str">
        <f t="shared" si="2"/>
        <v>Below Target - Watch</v>
      </c>
      <c r="G5" t="s">
        <v>31</v>
      </c>
    </row>
    <row r="6" spans="1:7" x14ac:dyDescent="0.4">
      <c r="A6" s="5" t="s">
        <v>10</v>
      </c>
      <c r="B6" s="6">
        <v>16382</v>
      </c>
      <c r="C6">
        <v>15500</v>
      </c>
      <c r="D6">
        <f t="shared" si="0"/>
        <v>90</v>
      </c>
      <c r="E6">
        <f t="shared" si="1"/>
        <v>-0.58064516129032262</v>
      </c>
      <c r="F6" t="str">
        <f t="shared" si="2"/>
        <v>Below Target - Watch</v>
      </c>
      <c r="G6" t="s">
        <v>31</v>
      </c>
    </row>
    <row r="7" spans="1:7" x14ac:dyDescent="0.4">
      <c r="A7" s="5" t="s">
        <v>11</v>
      </c>
      <c r="B7" s="6">
        <v>10895</v>
      </c>
      <c r="C7">
        <v>13000</v>
      </c>
      <c r="D7">
        <f t="shared" si="0"/>
        <v>-2410</v>
      </c>
      <c r="E7">
        <f t="shared" si="1"/>
        <v>18.53846153846154</v>
      </c>
      <c r="F7" t="str">
        <f t="shared" si="2"/>
        <v>Above Target</v>
      </c>
      <c r="G7" t="s">
        <v>31</v>
      </c>
    </row>
  </sheetData>
  <conditionalFormatting sqref="J11">
    <cfRule type="colorScale" priority="4">
      <colorScale>
        <cfvo type="formula" val="&quot;Below Target - Critical&quot;"/>
        <cfvo type="formula" val="$F$3"/>
        <cfvo type="formula" val="$F$4"/>
        <color rgb="FFF8696B"/>
        <color rgb="FFFFEB84"/>
        <color rgb="FF63BE7B"/>
      </colorScale>
    </cfRule>
  </conditionalFormatting>
  <conditionalFormatting sqref="F2:F7">
    <cfRule type="containsText" dxfId="0" priority="1" operator="containsText" text="Below Target - Critical">
      <formula>NOT(ISERROR(SEARCH("Below Target - Critical",F2)))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B304F88C-BE49-4B4B-BA79-5E6C54FC5C41}">
            <xm:f>NOT(ISERROR(SEARCH($F$2,F2)))</xm:f>
            <xm:f>$F$2</xm:f>
            <x14:dxf>
              <fill>
                <patternFill>
                  <bgColor rgb="FF00B050"/>
                </patternFill>
              </fill>
            </x14:dxf>
          </x14:cfRule>
          <x14:cfRule type="containsText" priority="2" operator="containsText" id="{CE52EB33-13C9-4E63-A5DB-41B7B6BF42FB}">
            <xm:f>NOT(ISERROR(SEARCH($F$3,F2)))</xm:f>
            <xm:f>$F$3</xm:f>
            <x14:dxf>
              <fill>
                <patternFill>
                  <bgColor rgb="FFFFFF00"/>
                </patternFill>
              </fill>
            </x14:dxf>
          </x14:cfRule>
          <xm:sqref>F2:F7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Data</vt:lpstr>
      <vt:lpstr>Category Tragets</vt:lpstr>
      <vt:lpstr>Pivot Table</vt:lpstr>
      <vt:lpstr>Category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Divyajoti Shen</dc:creator>
  <cp:lastModifiedBy>Divyajoti Shen</cp:lastModifiedBy>
  <dcterms:created xsi:type="dcterms:W3CDTF">2015-06-05T18:17:20Z</dcterms:created>
  <dcterms:modified xsi:type="dcterms:W3CDTF">2026-09-14T05:41:52Z</dcterms:modified>
</cp:coreProperties>
</file>